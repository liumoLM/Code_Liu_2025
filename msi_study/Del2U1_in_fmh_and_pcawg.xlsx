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<sst xmlns="http://schemas.openxmlformats.org/spreadsheetml/2006/main" count="51" uniqueCount="23">
  <si>
    <t xml:space="preserve">Uterus, Prostate, Colon samples with &gt;= 14,000 indels, FMH, PCAWG, and PCAWG graylist samples.</t>
  </si>
  <si>
    <t xml:space="preserve">FMH</t>
  </si>
  <si>
    <t xml:space="preserve">mutation_type</t>
  </si>
  <si>
    <t xml:space="preserve">mean_R</t>
  </si>
  <si>
    <t xml:space="preserve">median_R</t>
  </si>
  <si>
    <t xml:space="preserve">sd_R</t>
  </si>
  <si>
    <t xml:space="preserve">count_indels</t>
  </si>
  <si>
    <t xml:space="preserve">n(R&lt;=9)</t>
  </si>
  <si>
    <t xml:space="preserve">n(R&gt;9)</t>
  </si>
  <si>
    <t xml:space="preserve">Del2:U1:R(5,9) are deletions like deletion of AA from</t>
  </si>
  <si>
    <t xml:space="preserve">Del(T)</t>
  </si>
  <si>
    <t xml:space="preserve">AAAAAAAAAAAA</t>
  </si>
  <si>
    <t xml:space="preserve">Ins(T)</t>
  </si>
  <si>
    <t xml:space="preserve">Del(C)</t>
  </si>
  <si>
    <t xml:space="preserve">Ins(C)</t>
  </si>
  <si>
    <t xml:space="preserve">Del2:U1:R(5,9)</t>
  </si>
  <si>
    <t xml:space="preserve">Del2:U1:R(5,9) / Del(T)</t>
  </si>
  <si>
    <t xml:space="preserve">Del2:U1:R(5,9) / (Del(T)+Ins(T)+Del(C)+Ins(C))</t>
  </si>
  <si>
    <t xml:space="preserve">PCAWG</t>
  </si>
  <si>
    <t xml:space="preserve">No depletion for R &lt;= 9</t>
  </si>
  <si>
    <t xml:space="preserve">PCAWG_gray</t>
  </si>
  <si>
    <t xml:space="preserve">Depletion of Del2:U2:R… relative to single base indels than FMH (~15%)</t>
  </si>
  <si>
    <t xml:space="preserve">Extreme depletion for R &gt; 9; ~6%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</si>
</sst>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"/>
    <numFmt numFmtId="166" formatCode="0.0000"/>
    <numFmt numFmtId="167" formatCode="0.0000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EDCE6"/>
        <bgColor rgb="FFFFDBB6"/>
      </patternFill>
    </fill>
    <fill>
      <patternFill patternType="solid">
        <fgColor rgb="FFFFDBB6"/>
        <bgColor rgb="FFDEDCE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</xdr:col>
      <xdr:colOff>15480</xdr:colOff>
      <xdr:row>33</xdr:row>
      <xdr:rowOff>87120</xdr:rowOff>
    </xdr:from>
    <xdr:to>
      <xdr:col>4</xdr:col>
      <xdr:colOff>514080</xdr:colOff>
      <xdr:row>35</xdr:row>
      <xdr:rowOff>158760</xdr:rowOff>
    </xdr:to>
    <xdr:sp>
      <xdr:nvSpPr>
        <xdr:cNvPr id="1" name="Line 1"/>
        <xdr:cNvSpPr/>
      </xdr:nvSpPr>
      <xdr:spPr>
        <a:xfrm flipV="1">
          <a:off x="3106080" y="6373800"/>
          <a:ext cx="498600" cy="45252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3</xdr:col>
      <xdr:colOff>575280</xdr:colOff>
      <xdr:row>10</xdr:row>
      <xdr:rowOff>47520</xdr:rowOff>
    </xdr:from>
    <xdr:to>
      <xdr:col>4</xdr:col>
      <xdr:colOff>759240</xdr:colOff>
      <xdr:row>35</xdr:row>
      <xdr:rowOff>142920</xdr:rowOff>
    </xdr:to>
    <xdr:sp>
      <xdr:nvSpPr>
        <xdr:cNvPr id="2" name="Line 2"/>
        <xdr:cNvSpPr/>
      </xdr:nvSpPr>
      <xdr:spPr>
        <a:xfrm flipV="1">
          <a:off x="3051720" y="1952640"/>
          <a:ext cx="798120" cy="485784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7</xdr:col>
      <xdr:colOff>475920</xdr:colOff>
      <xdr:row>35</xdr:row>
      <xdr:rowOff>87120</xdr:rowOff>
    </xdr:from>
    <xdr:to>
      <xdr:col>7</xdr:col>
      <xdr:colOff>498600</xdr:colOff>
      <xdr:row>35</xdr:row>
      <xdr:rowOff>111240</xdr:rowOff>
    </xdr:to>
    <xdr:sp>
      <xdr:nvSpPr>
        <xdr:cNvPr id="3" name="Line 4"/>
        <xdr:cNvSpPr/>
      </xdr:nvSpPr>
      <xdr:spPr>
        <a:xfrm flipV="1">
          <a:off x="5901840" y="6754680"/>
          <a:ext cx="22680" cy="2412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6</xdr:col>
      <xdr:colOff>583200</xdr:colOff>
      <xdr:row>34</xdr:row>
      <xdr:rowOff>31680</xdr:rowOff>
    </xdr:from>
    <xdr:to>
      <xdr:col>7</xdr:col>
      <xdr:colOff>99720</xdr:colOff>
      <xdr:row>35</xdr:row>
      <xdr:rowOff>190440</xdr:rowOff>
    </xdr:to>
    <xdr:sp>
      <xdr:nvSpPr>
        <xdr:cNvPr id="4" name="Line 3"/>
        <xdr:cNvSpPr/>
      </xdr:nvSpPr>
      <xdr:spPr>
        <a:xfrm flipH="1" flipV="1">
          <a:off x="5395320" y="6508800"/>
          <a:ext cx="130320" cy="34920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6</xdr:col>
      <xdr:colOff>560160</xdr:colOff>
      <xdr:row>10</xdr:row>
      <xdr:rowOff>39600</xdr:rowOff>
    </xdr:from>
    <xdr:to>
      <xdr:col>7</xdr:col>
      <xdr:colOff>375840</xdr:colOff>
      <xdr:row>36</xdr:row>
      <xdr:rowOff>31680</xdr:rowOff>
    </xdr:to>
    <xdr:sp>
      <xdr:nvSpPr>
        <xdr:cNvPr id="5" name="Line 5"/>
        <xdr:cNvSpPr/>
      </xdr:nvSpPr>
      <xdr:spPr>
        <a:xfrm flipH="1" flipV="1">
          <a:off x="5372280" y="1944720"/>
          <a:ext cx="429480" cy="494496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5</xdr:col>
      <xdr:colOff>583200</xdr:colOff>
      <xdr:row>21</xdr:row>
      <xdr:rowOff>63360</xdr:rowOff>
    </xdr:from>
    <xdr:to>
      <xdr:col>7</xdr:col>
      <xdr:colOff>704160</xdr:colOff>
      <xdr:row>33</xdr:row>
      <xdr:rowOff>110880</xdr:rowOff>
    </xdr:to>
    <xdr:sp>
      <xdr:nvSpPr>
        <xdr:cNvPr id="6" name="Line 6"/>
        <xdr:cNvSpPr/>
      </xdr:nvSpPr>
      <xdr:spPr>
        <a:xfrm flipH="1">
          <a:off x="4710600" y="4064040"/>
          <a:ext cx="1419480" cy="233352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5</xdr:col>
      <xdr:colOff>444960</xdr:colOff>
      <xdr:row>11</xdr:row>
      <xdr:rowOff>39600</xdr:rowOff>
    </xdr:from>
    <xdr:to>
      <xdr:col>7</xdr:col>
      <xdr:colOff>604440</xdr:colOff>
      <xdr:row>16</xdr:row>
      <xdr:rowOff>174600</xdr:rowOff>
    </xdr:to>
    <xdr:sp>
      <xdr:nvSpPr>
        <xdr:cNvPr id="7" name="Line 7"/>
        <xdr:cNvSpPr/>
      </xdr:nvSpPr>
      <xdr:spPr>
        <a:xfrm flipH="1" flipV="1">
          <a:off x="4572360" y="2135160"/>
          <a:ext cx="1458000" cy="108756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9" activeCellId="0" sqref="K19"/>
    </sheetView>
  </sheetViews>
  <sheetFormatPr defaultColWidth="10.54296875" defaultRowHeight="15" customHeight="false" zeroHeight="false" outlineLevelRow="0" outlineLevelCol="0"/>
  <cols>
    <col collapsed="false" customWidth="true" hidden="false" outlineLevel="0" max="1" min="1" style="0" width="15.71"/>
    <col collapsed="false" customWidth="true" hidden="false" outlineLevel="0" max="2" min="2" style="0" width="8.71"/>
    <col collapsed="false" customWidth="true" hidden="false" outlineLevel="0" max="3" min="3" style="0" width="10.71"/>
    <col collapsed="false" customWidth="true" hidden="false" outlineLevel="0" max="4" min="4" style="0" width="8.71"/>
    <col collapsed="false" customWidth="true" hidden="false" outlineLevel="0" max="5" min="5" style="0" width="14.71"/>
    <col collapsed="false" customWidth="true" hidden="false" outlineLevel="0" max="6" min="6" style="0" width="9.71"/>
    <col collapsed="false" customWidth="true" hidden="false" outlineLevel="0" max="7" min="7" style="0" width="8.71"/>
    <col collapsed="false" customWidth="true" hidden="false" outlineLevel="0" max="16384" min="16381" style="0" width="11.53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n">
        <v>46077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J4" s="0" t="s">
        <v>9</v>
      </c>
    </row>
    <row r="5" customFormat="false" ht="15" hidden="false" customHeight="false" outlineLevel="0" collapsed="false">
      <c r="A5" s="0" t="s">
        <v>10</v>
      </c>
      <c r="B5" s="0" t="n">
        <v>9.245</v>
      </c>
      <c r="C5" s="0" t="n">
        <v>9</v>
      </c>
      <c r="D5" s="0" t="n">
        <v>1.971</v>
      </c>
      <c r="E5" s="0" t="n">
        <v>8951443</v>
      </c>
      <c r="F5" s="0" t="n">
        <v>4765699</v>
      </c>
      <c r="G5" s="0" t="n">
        <v>4185744</v>
      </c>
      <c r="J5" s="0" t="s">
        <v>11</v>
      </c>
    </row>
    <row r="6" customFormat="false" ht="15" hidden="false" customHeight="false" outlineLevel="0" collapsed="false">
      <c r="A6" s="0" t="s">
        <v>12</v>
      </c>
      <c r="B6" s="0" t="n">
        <v>7.833</v>
      </c>
      <c r="C6" s="0" t="n">
        <v>8</v>
      </c>
      <c r="D6" s="0" t="n">
        <v>2.16</v>
      </c>
      <c r="E6" s="0" t="n">
        <v>1292986</v>
      </c>
      <c r="F6" s="0" t="n">
        <v>1050186</v>
      </c>
      <c r="G6" s="0" t="n">
        <v>242800</v>
      </c>
    </row>
    <row r="7" customFormat="false" ht="15" hidden="false" customHeight="false" outlineLevel="0" collapsed="false">
      <c r="A7" s="0" t="s">
        <v>13</v>
      </c>
      <c r="B7" s="0" t="n">
        <v>6.093</v>
      </c>
      <c r="C7" s="0" t="n">
        <v>6</v>
      </c>
      <c r="D7" s="0" t="n">
        <v>2.238</v>
      </c>
      <c r="E7" s="0" t="n">
        <v>428273</v>
      </c>
      <c r="F7" s="0" t="n">
        <v>404726</v>
      </c>
      <c r="G7" s="0" t="n">
        <v>23547</v>
      </c>
    </row>
    <row r="8" customFormat="false" ht="15" hidden="false" customHeight="false" outlineLevel="0" collapsed="false">
      <c r="A8" s="0" t="s">
        <v>14</v>
      </c>
      <c r="B8" s="0" t="n">
        <v>6.076</v>
      </c>
      <c r="C8" s="0" t="n">
        <v>7</v>
      </c>
      <c r="D8" s="0" t="n">
        <v>2.5</v>
      </c>
      <c r="E8" s="0" t="n">
        <v>152728</v>
      </c>
      <c r="F8" s="0" t="n">
        <v>149037</v>
      </c>
      <c r="G8" s="0" t="n">
        <v>3691</v>
      </c>
    </row>
    <row r="9" customFormat="false" ht="15" hidden="false" customHeight="false" outlineLevel="0" collapsed="false">
      <c r="A9" s="4" t="s">
        <v>15</v>
      </c>
      <c r="B9" s="0" t="n">
        <v>11.464</v>
      </c>
      <c r="C9" s="4" t="n">
        <v>12</v>
      </c>
      <c r="D9" s="0" t="n">
        <v>1.404</v>
      </c>
      <c r="E9" s="0" t="n">
        <v>880071</v>
      </c>
      <c r="F9" s="0" t="n">
        <v>69015</v>
      </c>
      <c r="G9" s="0" t="n">
        <v>811056</v>
      </c>
    </row>
    <row r="11" customFormat="false" ht="15" hidden="false" customHeight="false" outlineLevel="0" collapsed="false">
      <c r="A11" s="0" t="s">
        <v>16</v>
      </c>
      <c r="E11" s="5" t="n">
        <f aca="false">E9/E5</f>
        <v>0.0983161038952044</v>
      </c>
      <c r="F11" s="5" t="n">
        <f aca="false">F9/E5</f>
        <v>0.00770993011964663</v>
      </c>
      <c r="G11" s="5" t="n">
        <f aca="false">G9/E5</f>
        <v>0.0906061737755578</v>
      </c>
    </row>
    <row r="12" customFormat="false" ht="15" hidden="false" customHeight="false" outlineLevel="0" collapsed="false">
      <c r="A12" s="6" t="s">
        <v>17</v>
      </c>
      <c r="B12" s="6"/>
      <c r="C12" s="6"/>
      <c r="D12" s="6"/>
      <c r="E12" s="7" t="n">
        <f aca="false">E9/(E5+E6+E7+E8)</f>
        <v>0.0812966320968313</v>
      </c>
      <c r="F12" s="7" t="n">
        <f aca="false">F9/(E5+E6+E7+E8)</f>
        <v>0.006375266386647</v>
      </c>
      <c r="G12" s="7" t="n">
        <f aca="false">G9/(E5+E6+E7+E8)</f>
        <v>0.0749213657101843</v>
      </c>
    </row>
    <row r="15" customFormat="false" ht="15" hidden="false" customHeight="false" outlineLevel="0" collapsed="false">
      <c r="A15" s="3" t="s">
        <v>18</v>
      </c>
    </row>
    <row r="16" customFormat="false" ht="15" hidden="false" customHeight="false" outlineLevel="0" collapsed="false">
      <c r="A16" s="3" t="s">
        <v>2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8</v>
      </c>
    </row>
    <row r="17" customFormat="false" ht="15" hidden="false" customHeight="false" outlineLevel="0" collapsed="false">
      <c r="A17" s="0" t="s">
        <v>10</v>
      </c>
      <c r="B17" s="0" t="n">
        <v>7.465</v>
      </c>
      <c r="C17" s="0" t="n">
        <v>8</v>
      </c>
      <c r="D17" s="0" t="n">
        <v>1.613</v>
      </c>
      <c r="E17" s="0" t="n">
        <v>230826</v>
      </c>
      <c r="F17" s="0" t="n">
        <v>225809</v>
      </c>
      <c r="G17" s="0" t="n">
        <v>5017</v>
      </c>
    </row>
    <row r="18" customFormat="false" ht="15" hidden="false" customHeight="false" outlineLevel="0" collapsed="false">
      <c r="A18" s="0" t="s">
        <v>12</v>
      </c>
      <c r="B18" s="0" t="n">
        <v>6.908</v>
      </c>
      <c r="C18" s="0" t="n">
        <v>7</v>
      </c>
      <c r="D18" s="0" t="n">
        <v>1.722</v>
      </c>
      <c r="E18" s="0" t="n">
        <v>121063</v>
      </c>
      <c r="F18" s="0" t="n">
        <v>119758</v>
      </c>
      <c r="G18" s="0" t="n">
        <v>1305</v>
      </c>
    </row>
    <row r="19" customFormat="false" ht="15" hidden="false" customHeight="true" outlineLevel="0" collapsed="false">
      <c r="A19" s="0" t="s">
        <v>13</v>
      </c>
      <c r="B19" s="0" t="n">
        <v>5.248</v>
      </c>
      <c r="C19" s="0" t="n">
        <v>6</v>
      </c>
      <c r="D19" s="0" t="n">
        <v>1.942</v>
      </c>
      <c r="E19" s="0" t="n">
        <v>17401</v>
      </c>
      <c r="F19" s="0" t="n">
        <v>17360</v>
      </c>
      <c r="G19" s="0" t="n">
        <v>41</v>
      </c>
      <c r="I19" s="8" t="s">
        <v>19</v>
      </c>
    </row>
    <row r="20" customFormat="false" ht="15" hidden="false" customHeight="false" outlineLevel="0" collapsed="false">
      <c r="A20" s="0" t="s">
        <v>14</v>
      </c>
      <c r="B20" s="0" t="n">
        <v>4.283</v>
      </c>
      <c r="C20" s="0" t="n">
        <v>5</v>
      </c>
      <c r="D20" s="0" t="n">
        <v>2.894</v>
      </c>
      <c r="E20" s="0" t="n">
        <v>11071</v>
      </c>
      <c r="F20" s="0" t="n">
        <v>11067</v>
      </c>
      <c r="G20" s="0" t="n">
        <v>4</v>
      </c>
      <c r="I20" s="8"/>
    </row>
    <row r="21" customFormat="false" ht="15" hidden="false" customHeight="false" outlineLevel="0" collapsed="false">
      <c r="A21" s="4" t="s">
        <v>15</v>
      </c>
      <c r="B21" s="0" t="n">
        <v>9.578</v>
      </c>
      <c r="C21" s="4" t="n">
        <v>9</v>
      </c>
      <c r="D21" s="0" t="n">
        <v>1.706</v>
      </c>
      <c r="E21" s="0" t="n">
        <v>3417</v>
      </c>
      <c r="F21" s="0" t="n">
        <v>2120</v>
      </c>
      <c r="G21" s="0" t="n">
        <v>1297</v>
      </c>
      <c r="I21" s="8"/>
    </row>
    <row r="22" customFormat="false" ht="15" hidden="false" customHeight="false" outlineLevel="0" collapsed="false">
      <c r="I22" s="8"/>
    </row>
    <row r="23" customFormat="false" ht="15" hidden="false" customHeight="false" outlineLevel="0" collapsed="false">
      <c r="A23" s="0" t="s">
        <v>16</v>
      </c>
      <c r="E23" s="5" t="n">
        <f aca="false">E21/E17</f>
        <v>0.01480335837384</v>
      </c>
      <c r="F23" s="5" t="n">
        <f aca="false">F21/E17</f>
        <v>0.00918440730247026</v>
      </c>
      <c r="G23" s="5" t="n">
        <f aca="false">G21/E17</f>
        <v>0.00561895107136978</v>
      </c>
      <c r="I23" s="8"/>
    </row>
    <row r="24" customFormat="false" ht="15" hidden="false" customHeight="false" outlineLevel="0" collapsed="false">
      <c r="A24" s="6" t="s">
        <v>17</v>
      </c>
      <c r="B24" s="6"/>
      <c r="C24" s="6"/>
      <c r="D24" s="6"/>
      <c r="E24" s="7" t="n">
        <f aca="false">E21/(E17+E18+E19+E20)</f>
        <v>0.00898357087083061</v>
      </c>
      <c r="F24" s="7" t="n">
        <f aca="false">F21/(E17+E18+E19+E20)</f>
        <v>0.00557365239864234</v>
      </c>
      <c r="G24" s="7" t="n">
        <f aca="false">G21/(E17+E18+E19+E20)</f>
        <v>0.00340991847218826</v>
      </c>
    </row>
    <row r="27" customFormat="false" ht="15" hidden="false" customHeight="false" outlineLevel="0" collapsed="false">
      <c r="A27" s="3" t="s">
        <v>20</v>
      </c>
    </row>
    <row r="28" customFormat="false" ht="15" hidden="false" customHeight="false" outlineLevel="0" collapsed="false">
      <c r="A28" s="3" t="s">
        <v>2</v>
      </c>
      <c r="B28" s="3" t="s">
        <v>3</v>
      </c>
      <c r="C28" s="3" t="s">
        <v>4</v>
      </c>
      <c r="D28" s="3" t="s">
        <v>5</v>
      </c>
      <c r="E28" s="3" t="s">
        <v>6</v>
      </c>
      <c r="F28" s="3" t="s">
        <v>7</v>
      </c>
      <c r="G28" s="3" t="s">
        <v>8</v>
      </c>
    </row>
    <row r="29" customFormat="false" ht="15" hidden="false" customHeight="false" outlineLevel="0" collapsed="false">
      <c r="A29" s="0" t="s">
        <v>10</v>
      </c>
      <c r="B29" s="0" t="n">
        <v>7.53</v>
      </c>
      <c r="C29" s="0" t="n">
        <v>8</v>
      </c>
      <c r="D29" s="0" t="n">
        <v>1.533</v>
      </c>
      <c r="E29" s="0" t="n">
        <v>788048</v>
      </c>
      <c r="F29" s="0" t="n">
        <v>770155</v>
      </c>
      <c r="G29" s="0" t="n">
        <v>17893</v>
      </c>
    </row>
    <row r="30" customFormat="false" ht="15" hidden="false" customHeight="false" outlineLevel="0" collapsed="false">
      <c r="A30" s="0" t="s">
        <v>12</v>
      </c>
      <c r="B30" s="0" t="n">
        <v>7.046</v>
      </c>
      <c r="C30" s="0" t="n">
        <v>7</v>
      </c>
      <c r="D30" s="0" t="n">
        <v>1.611</v>
      </c>
      <c r="E30" s="0" t="n">
        <v>219350</v>
      </c>
      <c r="F30" s="0" t="n">
        <v>216851</v>
      </c>
      <c r="G30" s="0" t="n">
        <v>2499</v>
      </c>
    </row>
    <row r="31" customFormat="false" ht="15" hidden="false" customHeight="false" outlineLevel="0" collapsed="false">
      <c r="A31" s="0" t="s">
        <v>13</v>
      </c>
      <c r="B31" s="0" t="n">
        <v>5.771</v>
      </c>
      <c r="C31" s="0" t="n">
        <v>6</v>
      </c>
      <c r="D31" s="0" t="n">
        <v>1.546</v>
      </c>
      <c r="E31" s="0" t="n">
        <v>56690</v>
      </c>
      <c r="F31" s="0" t="n">
        <v>56569</v>
      </c>
      <c r="G31" s="0" t="n">
        <v>121</v>
      </c>
    </row>
    <row r="32" customFormat="false" ht="15" hidden="false" customHeight="false" outlineLevel="0" collapsed="false">
      <c r="A32" s="0" t="s">
        <v>14</v>
      </c>
      <c r="B32" s="0" t="n">
        <v>5.635</v>
      </c>
      <c r="C32" s="0" t="n">
        <v>6</v>
      </c>
      <c r="D32" s="0" t="n">
        <v>2.029</v>
      </c>
      <c r="E32" s="0" t="n">
        <v>17208</v>
      </c>
      <c r="F32" s="0" t="n">
        <v>17205</v>
      </c>
      <c r="G32" s="0" t="n">
        <v>3</v>
      </c>
    </row>
    <row r="33" customFormat="false" ht="15" hidden="false" customHeight="false" outlineLevel="0" collapsed="false">
      <c r="A33" s="4" t="s">
        <v>15</v>
      </c>
      <c r="B33" s="0" t="n">
        <v>9.627</v>
      </c>
      <c r="C33" s="4" t="n">
        <v>9</v>
      </c>
      <c r="D33" s="0" t="n">
        <v>1.701</v>
      </c>
      <c r="E33" s="0" t="n">
        <v>12369</v>
      </c>
      <c r="F33" s="0" t="n">
        <v>7741</v>
      </c>
      <c r="G33" s="0" t="n">
        <v>4628</v>
      </c>
    </row>
    <row r="35" customFormat="false" ht="15" hidden="false" customHeight="false" outlineLevel="0" collapsed="false">
      <c r="A35" s="0" t="s">
        <v>16</v>
      </c>
      <c r="E35" s="5" t="n">
        <f aca="false">E33/E29</f>
        <v>0.0156957444216596</v>
      </c>
      <c r="F35" s="5" t="n">
        <f aca="false">F33/E29</f>
        <v>0.00982300570523623</v>
      </c>
      <c r="G35" s="5" t="n">
        <f aca="false">G33/E29</f>
        <v>0.00587273871642337</v>
      </c>
    </row>
    <row r="36" customFormat="false" ht="15" hidden="false" customHeight="false" outlineLevel="0" collapsed="false">
      <c r="A36" s="6" t="s">
        <v>17</v>
      </c>
      <c r="B36" s="6"/>
      <c r="C36" s="6"/>
      <c r="D36" s="6"/>
      <c r="E36" s="7" t="n">
        <f aca="false">E33/(E29+E30+E31+E32)</f>
        <v>0.0114390509166778</v>
      </c>
      <c r="F36" s="7" t="n">
        <f aca="false">F33/(E29+E30+E31+E32)</f>
        <v>0.00715900179044406</v>
      </c>
      <c r="G36" s="7" t="n">
        <f aca="false">G33/(E29+E30+E31+E32)</f>
        <v>0.00428004912623371</v>
      </c>
    </row>
    <row r="39" customFormat="false" ht="15" hidden="false" customHeight="true" outlineLevel="0" collapsed="false">
      <c r="E39" s="9" t="s">
        <v>21</v>
      </c>
      <c r="H39" s="8" t="s">
        <v>22</v>
      </c>
    </row>
    <row r="40" customFormat="false" ht="15" hidden="false" customHeight="false" outlineLevel="0" collapsed="false">
      <c r="E40" s="9"/>
      <c r="H40" s="8"/>
      <c r="J40" s="10"/>
    </row>
    <row r="41" customFormat="false" ht="15" hidden="false" customHeight="false" outlineLevel="0" collapsed="false">
      <c r="E41" s="9"/>
      <c r="H41" s="8"/>
    </row>
    <row r="42" customFormat="false" ht="15" hidden="false" customHeight="false" outlineLevel="0" collapsed="false">
      <c r="E42" s="9"/>
      <c r="H42" s="8"/>
    </row>
    <row r="43" customFormat="false" ht="15" hidden="false" customHeight="false" outlineLevel="0" collapsed="false">
      <c r="E43" s="9"/>
      <c r="H43" s="8"/>
    </row>
    <row r="44" customFormat="false" ht="15" hidden="false" customHeight="false" outlineLevel="0" collapsed="false">
      <c r="E44" s="9"/>
    </row>
  </sheetData>
  <mergeCells count="3">
    <mergeCell ref="I19:I23"/>
    <mergeCell ref="E39:E44"/>
    <mergeCell ref="H39:H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2026-02-24T19:22:35Z</dcterms:created>
  <dc:creator>steve</dc:creator>
  <dc:description/>
  <dc:language>en-US</dc:language>
  <cp:lastModifiedBy/>
  <dcterms:modified xsi:type="dcterms:W3CDTF">2026-02-24T15:35:12Z</dcterms:modified>
  <cp:revision>2</cp:revision>
  <dc:subject/>
  <dc:title/>
</cp:coreProperties>
</file>