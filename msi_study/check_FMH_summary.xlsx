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<sst xmlns="http://schemas.openxmlformats.org/spreadsheetml/2006/main" count="19" uniqueCount="19">
  <si>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FMH</t>
  </si>
  <si>
    <t xml:space="preserve">mutation_type</t>
  </si>
  <si>
    <t xml:space="preserve">mean_R</t>
  </si>
  <si>
    <t xml:space="preserve">median_R</t>
  </si>
  <si>
    <t xml:space="preserve">sd_R</t>
  </si>
  <si>
    <t xml:space="preserve">count_indels</t>
  </si>
  <si>
    <t xml:space="preserve">n(R&lt;=9)</t>
  </si>
  <si>
    <t xml:space="preserve">n(R&gt;9)</t>
  </si>
  <si>
    <t xml:space="preserve">n(R&lt;9)</t>
  </si>
  <si>
    <t xml:space="preserve">n(R&gt;=9)</t>
  </si>
  <si>
    <t xml:space="preserve">n(R==9)</t>
  </si>
  <si>
    <t xml:space="preserve">ratio(R==9/R&gt;=9)</t>
  </si>
  <si>
    <t xml:space="preserve">Del(T)</t>
  </si>
  <si>
    <t xml:space="preserve">Ins(T)</t>
  </si>
  <si>
    <t xml:space="preserve">Del(C)</t>
  </si>
  <si>
    <t xml:space="preserve">Ins(C)</t>
  </si>
  <si>
    <t xml:space="preserve">Del2:U1:R(5,9)</t>
  </si>
  <si>
    <t xml:space="preserve">Del2:U1:R(5,9) / Del(T)</t>
  </si>
  <si>
    <t xml:space="preserve">Del2:U1:R(5,9) / (Del(T)+Ins(T)+Del(C)+Ins(C))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</si>
</sst>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6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5.71" hidden="0" customWidth="1"/>
    <col min="2" max="2" width="8.71" hidden="0" customWidth="1"/>
    <col min="3" max="3" width="10.71" hidden="0" customWidth="1"/>
    <col min="4" max="4" width="8.71" hidden="0" customWidth="1"/>
    <col min="5" max="5" width="14.71" hidden="0" customWidth="1"/>
    <col min="6" max="6" width="9.71" hidden="0" customWidth="1"/>
    <col min="7" max="7" width="8.71" hidden="0" customWidth="1"/>
    <col min="8" max="8" width="8.71" hidden="0" customWidth="1"/>
    <col min="9" max="9" width="9.71" hidden="0" customWidth="1"/>
    <col min="10" max="10" width="9.71" hidden="0" customWidth="1"/>
    <col min="11" max="11" width="18.71" hidden="0" customWidth="1"/>
  </cols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>
      <c r="A3" t="s">
        <v>12</v>
      </c>
      <c r="B3" t="n">
        <v>9.245</v>
      </c>
      <c r="C3" t="n">
        <v>9</v>
      </c>
      <c r="D3" t="n">
        <v>1.971</v>
      </c>
      <c r="E3" t="n">
        <v>8951443</v>
      </c>
      <c r="F3" t="n">
        <v>4765699</v>
      </c>
      <c r="G3" t="n">
        <v>4185744</v>
      </c>
      <c r="H3" t="n">
        <v>2836135</v>
      </c>
      <c r="I3" t="n">
        <v>6115308</v>
      </c>
      <c r="J3" t="n">
        <v>1929564</v>
      </c>
      <c r="K3" t="n">
        <v>0.316</v>
      </c>
    </row>
    <row r="4">
      <c r="A4" t="s">
        <v>13</v>
      </c>
      <c r="B4" t="n">
        <v>7.833</v>
      </c>
      <c r="C4" t="n">
        <v>8</v>
      </c>
      <c r="D4" t="n">
        <v>2.16</v>
      </c>
      <c r="E4" t="n">
        <v>1292986</v>
      </c>
      <c r="F4" t="n">
        <v>1050186</v>
      </c>
      <c r="G4" t="n">
        <v>242800</v>
      </c>
      <c r="H4" t="n">
        <v>795659</v>
      </c>
      <c r="I4" t="n">
        <v>497327</v>
      </c>
      <c r="J4" t="n">
        <v>254527</v>
      </c>
      <c r="K4" t="n">
        <v>0.512</v>
      </c>
    </row>
    <row r="5">
      <c r="A5" t="s">
        <v>14</v>
      </c>
      <c r="B5" t="n">
        <v>6.093</v>
      </c>
      <c r="C5" t="n">
        <v>6</v>
      </c>
      <c r="D5" t="n">
        <v>2.238</v>
      </c>
      <c r="E5" t="n">
        <v>428273</v>
      </c>
      <c r="F5" t="n">
        <v>404726</v>
      </c>
      <c r="G5" t="n">
        <v>23547</v>
      </c>
      <c r="H5" t="n">
        <v>375838</v>
      </c>
      <c r="I5" t="n">
        <v>52435</v>
      </c>
      <c r="J5" t="n">
        <v>28888</v>
      </c>
      <c r="K5" t="n">
        <v>0.551</v>
      </c>
    </row>
    <row r="6">
      <c r="A6" t="s">
        <v>15</v>
      </c>
      <c r="B6" t="n">
        <v>6.076</v>
      </c>
      <c r="C6" t="n">
        <v>7</v>
      </c>
      <c r="D6" t="n">
        <v>2.5</v>
      </c>
      <c r="E6" t="n">
        <v>152728</v>
      </c>
      <c r="F6" t="n">
        <v>149037</v>
      </c>
      <c r="G6" t="n">
        <v>3691</v>
      </c>
      <c r="H6" t="n">
        <v>136792</v>
      </c>
      <c r="I6" t="n">
        <v>15936</v>
      </c>
      <c r="J6" t="n">
        <v>12245</v>
      </c>
      <c r="K6" t="n">
        <v>0.768</v>
      </c>
    </row>
    <row r="7">
      <c r="A7" t="s">
        <v>16</v>
      </c>
      <c r="B7" t="n">
        <v>11.464</v>
      </c>
      <c r="C7" t="n">
        <v>12</v>
      </c>
      <c r="D7" t="n">
        <v>1.404</v>
      </c>
      <c r="E7" t="n">
        <v>880071</v>
      </c>
      <c r="F7" t="n">
        <v>69015</v>
      </c>
      <c r="G7" t="n">
        <v>811056</v>
      </c>
      <c r="H7" t="n">
        <v>15836</v>
      </c>
      <c r="I7" t="n">
        <v>864235</v>
      </c>
      <c r="J7" t="n">
        <v>53179</v>
      </c>
      <c r="K7" t="n">
        <v>0.062</v>
      </c>
    </row>
    <row r="9">
      <c r="A9" t="s">
        <v>17</v>
      </c>
      <c r="E9" s="2" t="str">
        <f>=E7/E3</f>
      </c>
      <c r="F9" s="2" t="str">
        <f>=F7/E3</f>
      </c>
      <c r="G9" s="2" t="str">
        <f>=G7/E3</f>
      </c>
    </row>
    <row r="10">
      <c r="A10" t="s">
        <v>18</v>
      </c>
      <c r="E10" s="2" t="str">
        <f>=E7/(E3+E4+E5+E6)</f>
      </c>
      <c r="F10" s="2" t="str">
        <f>=F7/(E3+E4+E5+E6)</f>
      </c>
      <c r="G10" s="2" t="str">
        <f>=G7/(E3+E4+E5+E6)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steve</dc:creator>
  <cp:lastModifiedBy>steve</cp:lastModifiedBy>
  <dcterms:created xsi:type="dcterms:W3CDTF">2026-02-24T19:22:35Z</dcterms:created>
</coreProperties>
</file>